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<sst xmlns="http://schemas.openxmlformats.org/spreadsheetml/2006/main" count="47" uniqueCount="16">
  <si>
    <t>שטח דירות - רישוי</t>
  </si>
  <si>
    <t>מחיר מכירה כולל מע"מ</t>
  </si>
  <si>
    <t>מחיר מטרה</t>
  </si>
  <si>
    <t>קרקע</t>
  </si>
  <si>
    <t>עד 80</t>
  </si>
  <si>
    <t>שטח מטרה</t>
  </si>
  <si>
    <t>הכנסות מטרה</t>
  </si>
  <si>
    <t>עד 110</t>
  </si>
  <si>
    <t>שטח שוק חופשי</t>
  </si>
  <si>
    <t>הכנסות שוק חופשי</t>
  </si>
  <si>
    <t>גדולות</t>
  </si>
  <si>
    <t>סה"כ</t>
  </si>
  <si>
    <t>תכנון עקרוני</t>
  </si>
  <si>
    <t>כולל מע"מ</t>
  </si>
  <si>
    <t>ללא מע"מ</t>
  </si>
  <si>
    <t>מסחר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</si>
</sst>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.00_ ;_ * \-#,##0.00_ ;_ * &quot;-&quot;??_ ;_ @_ "/>
    <numFmt numFmtId="165" formatCode="_-* #,##0_-;\-* #,##0_-;_-* &quot;-&quot;??_-;_-@"/>
    <numFmt numFmtId="166" formatCode="_-* #,##0.0_-;\-* #,##0.0_-;_-* &quot;-&quot;??_-;_-@"/>
    <numFmt numFmtId="167" formatCode="_ * #,##0.0_ ;_ * \-#,##0.0_ ;_ * &quot;-&quot;??_ ;_ @_ "/>
    <numFmt numFmtId="168" formatCode="_ * #,##0_ ;_ * \-#,##0_ ;_ * &quot;-&quot;??_ ;_ @_ "/>
    <numFmt numFmtId="169" formatCode="0.0%"/>
  </numFmts>
  <fonts count="12">
    <font>
      <sz val="10.0"/>
      <color rgb="FF000000"/>
      <name val="Arial"/>
      <scheme val="minor"/>
    </font>
    <font>
      <b/>
      <sz val="20.0"/>
      <color theme="1"/>
      <name val="Arial"/>
    </font>
    <font>
      <color theme="1"/>
      <name val="Arial"/>
    </font>
    <font>
      <sz val="11.0"/>
      <color rgb="FFFFFFFF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9C6500"/>
      <name val="Calibri"/>
    </font>
    <font>
      <b/>
      <color theme="1"/>
      <name val="Arial"/>
    </font>
    <font>
      <b/>
      <sz val="11.0"/>
      <color rgb="FF3F3F3F"/>
      <name val="Calibri"/>
    </font>
    <font>
      <sz val="14.0"/>
      <color rgb="FF006100"/>
      <name val="Calibri"/>
    </font>
    <font>
      <sz val="11.0"/>
      <color rgb="FF3F3F76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0504D"/>
        <bgColor rgb="FFC0504D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3F3F3F"/>
      </right>
      <top style="medium">
        <color rgb="FF000000"/>
      </top>
      <bottom style="thin">
        <color rgb="FF3F3F3F"/>
      </bottom>
    </border>
    <border>
      <left style="thin">
        <color rgb="FF3F3F3F"/>
      </left>
      <right style="medium">
        <color rgb="FF000000"/>
      </right>
      <top style="medium">
        <color rgb="FF000000"/>
      </top>
      <bottom style="thin">
        <color rgb="FF3F3F3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right" vertical="bottom"/>
    </xf>
    <xf borderId="0" fillId="0" fontId="2" numFmtId="164" xfId="0" applyAlignment="1" applyFont="1" applyNumberFormat="1">
      <alignment vertical="bottom"/>
    </xf>
    <xf borderId="2" fillId="3" fontId="4" numFmtId="165" xfId="0" applyAlignment="1" applyBorder="1" applyFill="1" applyFont="1" applyNumberFormat="1">
      <alignment horizontal="center"/>
    </xf>
    <xf borderId="2" fillId="4" fontId="4" numFmtId="165" xfId="0" applyAlignment="1" applyBorder="1" applyFill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2" fillId="4" fontId="6" numFmtId="165" xfId="0" applyAlignment="1" applyBorder="1" applyFont="1" applyNumberFormat="1">
      <alignment horizontal="right" vertical="bottom"/>
    </xf>
    <xf borderId="2" fillId="3" fontId="7" numFmtId="165" xfId="0" applyAlignment="1" applyBorder="1" applyFont="1" applyNumberFormat="1">
      <alignment horizontal="center"/>
    </xf>
    <xf borderId="3" fillId="2" fontId="3" numFmtId="166" xfId="0" applyAlignment="1" applyBorder="1" applyFont="1" applyNumberFormat="1">
      <alignment horizontal="center"/>
    </xf>
    <xf borderId="3" fillId="2" fontId="3" numFmtId="165" xfId="0" applyAlignment="1" applyBorder="1" applyFont="1" applyNumberFormat="1">
      <alignment horizontal="center"/>
    </xf>
    <xf borderId="3" fillId="2" fontId="4" numFmtId="167" xfId="0" applyAlignment="1" applyBorder="1" applyFont="1" applyNumberFormat="1">
      <alignment horizontal="center"/>
    </xf>
    <xf borderId="2" fillId="2" fontId="3" numFmtId="168" xfId="0" applyAlignment="1" applyBorder="1" applyFont="1" applyNumberFormat="1">
      <alignment horizontal="right" vertical="bottom"/>
    </xf>
    <xf borderId="3" fillId="2" fontId="3" numFmtId="167" xfId="0" applyAlignment="1" applyBorder="1" applyFont="1" applyNumberFormat="1">
      <alignment horizontal="center"/>
    </xf>
    <xf borderId="2" fillId="5" fontId="2" numFmtId="168" xfId="0" applyAlignment="1" applyBorder="1" applyFill="1" applyFont="1" applyNumberFormat="1">
      <alignment vertical="bottom"/>
    </xf>
    <xf borderId="2" fillId="5" fontId="2" numFmtId="165" xfId="0" applyBorder="1" applyFont="1" applyNumberFormat="1"/>
    <xf borderId="4" fillId="0" fontId="8" numFmtId="165" xfId="0" applyAlignment="1" applyBorder="1" applyFont="1" applyNumberFormat="1">
      <alignment horizontal="right" vertical="bottom"/>
    </xf>
    <xf borderId="2" fillId="6" fontId="9" numFmtId="165" xfId="0" applyAlignment="1" applyBorder="1" applyFill="1" applyFont="1" applyNumberFormat="1">
      <alignment horizontal="center"/>
    </xf>
    <xf borderId="2" fillId="6" fontId="9" numFmtId="0" xfId="0" applyAlignment="1" applyBorder="1" applyFont="1">
      <alignment horizontal="right" vertical="bottom"/>
    </xf>
    <xf borderId="2" fillId="6" fontId="9" numFmtId="168" xfId="0" applyAlignment="1" applyBorder="1" applyFont="1" applyNumberFormat="1">
      <alignment horizontal="center" vertical="bottom"/>
    </xf>
    <xf borderId="0" fillId="0" fontId="2" numFmtId="168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5" fillId="6" fontId="9" numFmtId="0" xfId="0" applyAlignment="1" applyBorder="1" applyFont="1">
      <alignment horizontal="right" vertical="bottom"/>
    </xf>
    <xf borderId="6" fillId="6" fontId="9" numFmtId="165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7" fillId="5" fontId="10" numFmtId="0" xfId="0" applyAlignment="1" applyBorder="1" applyFont="1">
      <alignment horizontal="right" vertical="bottom"/>
    </xf>
    <xf borderId="8" fillId="5" fontId="10" numFmtId="168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horizontal="right" vertical="bottom"/>
    </xf>
    <xf borderId="2" fillId="0" fontId="2" numFmtId="168" xfId="0" applyAlignment="1" applyBorder="1" applyFont="1" applyNumberFormat="1">
      <alignment horizontal="right" vertical="bottom"/>
    </xf>
    <xf borderId="2" fillId="0" fontId="2" numFmtId="10" xfId="0" applyAlignment="1" applyBorder="1" applyFont="1" applyNumberFormat="1">
      <alignment horizontal="right" vertical="bottom"/>
    </xf>
    <xf borderId="9" fillId="0" fontId="2" numFmtId="165" xfId="0" applyAlignment="1" applyBorder="1" applyFont="1" applyNumberFormat="1">
      <alignment vertical="bottom"/>
    </xf>
    <xf borderId="10" fillId="0" fontId="2" numFmtId="165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2" fillId="2" fontId="3" numFmtId="165" xfId="0" applyAlignment="1" applyBorder="1" applyFont="1" applyNumberFormat="1">
      <alignment horizontal="center"/>
    </xf>
    <xf borderId="11" fillId="0" fontId="8" numFmtId="165" xfId="0" applyAlignment="1" applyBorder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2" fillId="7" fontId="11" numFmtId="0" xfId="0" applyAlignment="1" applyBorder="1" applyFill="1" applyFont="1">
      <alignment horizontal="right" vertical="bottom"/>
    </xf>
    <xf borderId="2" fillId="6" fontId="9" numFmtId="167" xfId="0" applyAlignment="1" applyBorder="1" applyFont="1" applyNumberFormat="1">
      <alignment horizontal="center" vertical="bottom"/>
    </xf>
    <xf borderId="2" fillId="7" fontId="11" numFmtId="168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1" t="s">
        <v>1</v>
      </c>
      <c r="I1" s="2"/>
      <c r="J1" s="2"/>
      <c r="K1" s="2"/>
      <c r="L1" s="2"/>
      <c r="M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4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/>
      <c r="B5" s="2"/>
      <c r="C5" s="2"/>
      <c r="D5" s="5">
        <v>148.0</v>
      </c>
      <c r="E5" s="6">
        <v>158.0</v>
      </c>
      <c r="F5" s="7">
        <v>8.0</v>
      </c>
      <c r="G5" s="2"/>
      <c r="H5" s="2"/>
      <c r="I5" s="2"/>
      <c r="J5" s="2"/>
      <c r="K5" s="8">
        <v>4410208.648</v>
      </c>
      <c r="L5" s="9">
        <v>4837716.399999999</v>
      </c>
      <c r="M5" s="7">
        <v>8.0</v>
      </c>
    </row>
    <row r="6">
      <c r="A6" s="10">
        <v>109.0</v>
      </c>
      <c r="B6" s="11">
        <v>89.0</v>
      </c>
      <c r="C6" s="2"/>
      <c r="D6" s="5">
        <v>134.0</v>
      </c>
      <c r="E6" s="9">
        <v>126.0</v>
      </c>
      <c r="F6" s="7">
        <v>7.0</v>
      </c>
      <c r="G6" s="2"/>
      <c r="H6" s="10">
        <v>1759876.7280000001</v>
      </c>
      <c r="I6" s="11">
        <v>1408361.928</v>
      </c>
      <c r="J6" s="2"/>
      <c r="K6" s="9">
        <v>3540981.0</v>
      </c>
      <c r="L6" s="9">
        <v>3343609.0</v>
      </c>
      <c r="M6" s="7">
        <v>7.0</v>
      </c>
    </row>
    <row r="7">
      <c r="A7" s="10">
        <v>109.0</v>
      </c>
      <c r="B7" s="11">
        <v>89.0</v>
      </c>
      <c r="C7" s="12">
        <v>105.43999999999991</v>
      </c>
      <c r="D7" s="13">
        <v>76.0</v>
      </c>
      <c r="E7" s="14">
        <v>79.0</v>
      </c>
      <c r="F7" s="7">
        <v>6.0</v>
      </c>
      <c r="G7" s="2"/>
      <c r="H7" s="10">
        <v>1759876.7280000001</v>
      </c>
      <c r="I7" s="11">
        <v>1408361.928</v>
      </c>
      <c r="J7" s="11">
        <v>1697307.0935999984</v>
      </c>
      <c r="K7" s="13">
        <v>1179877.308</v>
      </c>
      <c r="L7" s="14">
        <v>1232604.5280000002</v>
      </c>
      <c r="M7" s="7">
        <v>6.0</v>
      </c>
    </row>
    <row r="8">
      <c r="A8" s="10">
        <v>109.0</v>
      </c>
      <c r="B8" s="11">
        <v>89.0</v>
      </c>
      <c r="C8" s="12" t="str">
        <f t="shared" ref="C8:C12" si="1">$N$37</f>
        <v/>
      </c>
      <c r="D8" s="13">
        <v>76.0</v>
      </c>
      <c r="E8" s="14">
        <v>79.0</v>
      </c>
      <c r="F8" s="7">
        <v>5.0</v>
      </c>
      <c r="G8" s="2"/>
      <c r="H8" s="10">
        <v>1759876.7280000001</v>
      </c>
      <c r="I8" s="11">
        <v>1408361.928</v>
      </c>
      <c r="J8" s="11">
        <v>1697307.0935999984</v>
      </c>
      <c r="K8" s="13">
        <v>1179877.308</v>
      </c>
      <c r="L8" s="14">
        <v>1232604.5280000002</v>
      </c>
      <c r="M8" s="7">
        <v>5.0</v>
      </c>
    </row>
    <row r="9">
      <c r="A9" s="10">
        <v>109.0</v>
      </c>
      <c r="B9" s="11">
        <v>89.0</v>
      </c>
      <c r="C9" s="12" t="str">
        <f t="shared" si="1"/>
        <v/>
      </c>
      <c r="D9" s="13">
        <v>76.0</v>
      </c>
      <c r="E9" s="14">
        <v>79.0</v>
      </c>
      <c r="F9" s="7">
        <v>4.0</v>
      </c>
      <c r="G9" s="2"/>
      <c r="H9" s="10">
        <v>1759876.7280000001</v>
      </c>
      <c r="I9" s="11">
        <v>1408361.928</v>
      </c>
      <c r="J9" s="11">
        <v>1697307.0935999984</v>
      </c>
      <c r="K9" s="13">
        <v>1179877.308</v>
      </c>
      <c r="L9" s="14">
        <v>1232604.5280000002</v>
      </c>
      <c r="M9" s="7">
        <v>4.0</v>
      </c>
    </row>
    <row r="10">
      <c r="A10" s="10">
        <v>109.0</v>
      </c>
      <c r="B10" s="11">
        <v>89.0</v>
      </c>
      <c r="C10" s="12" t="str">
        <f t="shared" si="1"/>
        <v/>
      </c>
      <c r="D10" s="13">
        <v>76.0</v>
      </c>
      <c r="E10" s="14">
        <v>79.0</v>
      </c>
      <c r="F10" s="7">
        <v>3.0</v>
      </c>
      <c r="G10" s="2"/>
      <c r="H10" s="10">
        <v>1759876.7280000001</v>
      </c>
      <c r="I10" s="11">
        <v>1408361.928</v>
      </c>
      <c r="J10" s="11">
        <v>1697307.0935999984</v>
      </c>
      <c r="K10" s="13">
        <v>1179877.308</v>
      </c>
      <c r="L10" s="14">
        <v>1232604.5280000002</v>
      </c>
      <c r="M10" s="7">
        <v>3.0</v>
      </c>
    </row>
    <row r="11">
      <c r="A11" s="10">
        <v>109.0</v>
      </c>
      <c r="B11" s="11">
        <v>89.0</v>
      </c>
      <c r="C11" s="12" t="str">
        <f t="shared" si="1"/>
        <v/>
      </c>
      <c r="D11" s="13">
        <v>76.0</v>
      </c>
      <c r="E11" s="14">
        <v>79.0</v>
      </c>
      <c r="F11" s="7">
        <v>2.0</v>
      </c>
      <c r="G11" s="2"/>
      <c r="H11" s="10">
        <v>1759876.7280000001</v>
      </c>
      <c r="I11" s="11">
        <v>1408361.928</v>
      </c>
      <c r="J11" s="11">
        <v>1697307.0935999984</v>
      </c>
      <c r="K11" s="13">
        <v>1179877.308</v>
      </c>
      <c r="L11" s="14">
        <v>1232604.5280000002</v>
      </c>
      <c r="M11" s="7">
        <v>2.0</v>
      </c>
    </row>
    <row r="12">
      <c r="A12" s="10">
        <v>109.0</v>
      </c>
      <c r="B12" s="11">
        <v>89.0</v>
      </c>
      <c r="C12" s="12" t="str">
        <f t="shared" si="1"/>
        <v/>
      </c>
      <c r="D12" s="13">
        <v>76.0</v>
      </c>
      <c r="E12" s="14">
        <v>79.0</v>
      </c>
      <c r="F12" s="7">
        <v>1.0</v>
      </c>
      <c r="G12" s="2"/>
      <c r="H12" s="10">
        <v>1759876.7280000001</v>
      </c>
      <c r="I12" s="11">
        <v>1408361.928</v>
      </c>
      <c r="J12" s="11">
        <v>1697307.0935999984</v>
      </c>
      <c r="K12" s="13">
        <v>1179877.308</v>
      </c>
      <c r="L12" s="14">
        <v>1232604.5280000002</v>
      </c>
      <c r="M12" s="7">
        <v>1.0</v>
      </c>
    </row>
    <row r="13">
      <c r="A13" s="15"/>
      <c r="B13" s="16"/>
      <c r="C13" s="15"/>
      <c r="D13" s="15"/>
      <c r="E13" s="8">
        <v>185.0</v>
      </c>
      <c r="F13" s="7" t="s">
        <v>3</v>
      </c>
      <c r="G13" s="2"/>
      <c r="H13" s="15"/>
      <c r="I13" s="16"/>
      <c r="J13" s="15"/>
      <c r="K13" s="15"/>
      <c r="L13" s="9">
        <v>5123112.5</v>
      </c>
      <c r="M13" s="7" t="s">
        <v>3</v>
      </c>
    </row>
    <row r="14">
      <c r="A14" s="2"/>
      <c r="B14" s="2"/>
      <c r="C14" s="2"/>
      <c r="D14" s="2"/>
      <c r="E14" s="17">
        <f>SUM(A5:E13)</f>
        <v>3172.44</v>
      </c>
      <c r="F14" s="2"/>
      <c r="G14" s="2"/>
      <c r="H14" s="2"/>
      <c r="I14" s="2"/>
      <c r="J14" s="2"/>
      <c r="K14" s="2"/>
      <c r="L14" s="18">
        <v>6.809203171759997E7</v>
      </c>
      <c r="M14" s="2"/>
    </row>
    <row r="15">
      <c r="A15" s="19" t="s">
        <v>4</v>
      </c>
      <c r="B15" s="20">
        <f>COUNTIF(A5:E13,"&lt;80")</f>
        <v>12</v>
      </c>
      <c r="C15" s="21"/>
      <c r="D15" s="22" t="s">
        <v>5</v>
      </c>
      <c r="E15" s="23">
        <f>SUM(A7:E12,A6:B6)</f>
        <v>2421.44</v>
      </c>
      <c r="F15" s="2"/>
      <c r="G15" s="2"/>
      <c r="H15" s="2"/>
      <c r="I15" s="2"/>
      <c r="J15" s="2"/>
      <c r="K15" s="22" t="s">
        <v>6</v>
      </c>
      <c r="L15" s="23">
        <v>4.683640416959999E7</v>
      </c>
      <c r="M15" s="2"/>
    </row>
    <row r="16">
      <c r="A16" s="19" t="s">
        <v>7</v>
      </c>
      <c r="B16" s="20">
        <f>COUNTIF(A5:E13,"&lt;110")-B15</f>
        <v>15</v>
      </c>
      <c r="C16" s="21"/>
      <c r="D16" s="22" t="s">
        <v>8</v>
      </c>
      <c r="E16" s="23">
        <f>E14-E15</f>
        <v>751</v>
      </c>
      <c r="F16" s="2"/>
      <c r="G16" s="2"/>
      <c r="H16" s="2"/>
      <c r="I16" s="2"/>
      <c r="J16" s="2"/>
      <c r="K16" s="22" t="s">
        <v>9</v>
      </c>
      <c r="L16" s="23">
        <v>2.1255627547999986E7</v>
      </c>
      <c r="M16" s="2"/>
    </row>
    <row r="17">
      <c r="A17" s="19" t="s">
        <v>10</v>
      </c>
      <c r="B17" s="20">
        <f>COUNTIF(A5:E13,"&gt;110")</f>
        <v>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19" t="s">
        <v>11</v>
      </c>
      <c r="B18" s="20">
        <f>SUM(B15:B17)</f>
        <v>32</v>
      </c>
      <c r="C18" s="2"/>
      <c r="D18" s="22" t="s">
        <v>12</v>
      </c>
      <c r="E18" s="2"/>
      <c r="F18" s="2"/>
      <c r="G18" s="2"/>
      <c r="H18" s="2"/>
      <c r="I18" s="2"/>
      <c r="J18" s="2"/>
      <c r="K18" s="24" t="s">
        <v>13</v>
      </c>
      <c r="L18" s="25">
        <v>6.809203171759997E7</v>
      </c>
      <c r="M18" s="2"/>
    </row>
    <row r="19">
      <c r="A19" s="2"/>
      <c r="B19" s="2"/>
      <c r="C19" s="2"/>
      <c r="D19" s="2"/>
      <c r="E19" s="2"/>
      <c r="F19" s="26"/>
      <c r="G19" s="21"/>
      <c r="H19" s="2"/>
      <c r="I19" s="2"/>
      <c r="J19" s="2"/>
      <c r="K19" s="27" t="s">
        <v>14</v>
      </c>
      <c r="L19" s="28">
        <v>5.819831770735041E7</v>
      </c>
      <c r="M19" s="2"/>
    </row>
    <row r="20">
      <c r="A20" s="2"/>
      <c r="B20" s="2"/>
      <c r="C20" s="2"/>
      <c r="D20" s="29"/>
      <c r="E20" s="30"/>
      <c r="F20" s="31"/>
      <c r="G20" s="2"/>
      <c r="H20" s="2"/>
      <c r="I20" s="2"/>
      <c r="J20" s="2"/>
      <c r="K20" s="32"/>
      <c r="L20" s="33"/>
      <c r="M20" s="2"/>
    </row>
    <row r="21">
      <c r="A21" s="2"/>
      <c r="B21" s="2"/>
      <c r="C21" s="2"/>
      <c r="D21" s="29"/>
      <c r="E21" s="30"/>
      <c r="F21" s="34"/>
      <c r="G21" s="2"/>
      <c r="H21" s="2"/>
      <c r="I21" s="2"/>
      <c r="J21" s="2"/>
      <c r="K21" s="2"/>
      <c r="L21" s="4"/>
      <c r="M21" s="2"/>
    </row>
    <row r="22">
      <c r="A22" s="2"/>
      <c r="B22" s="2"/>
      <c r="C22" s="2"/>
      <c r="D22" s="29"/>
      <c r="E22" s="30"/>
      <c r="F22" s="2"/>
      <c r="G22" s="2"/>
      <c r="H22" s="2"/>
      <c r="I22" s="2"/>
      <c r="J22" s="2"/>
      <c r="K22" s="2"/>
      <c r="L22" s="4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1" t="s">
        <v>0</v>
      </c>
      <c r="B24" s="2"/>
      <c r="C24" s="2"/>
      <c r="D24" s="2"/>
      <c r="E24" s="2"/>
      <c r="F24" s="2"/>
      <c r="G24" s="2"/>
      <c r="H24" s="1" t="s">
        <v>1</v>
      </c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6"/>
      <c r="G25" s="2"/>
      <c r="H25" s="2"/>
      <c r="I25" s="2"/>
      <c r="J25" s="2"/>
      <c r="K25" s="32"/>
      <c r="L25" s="33"/>
      <c r="M25" s="2"/>
    </row>
    <row r="26">
      <c r="A26" s="3" t="s">
        <v>2</v>
      </c>
      <c r="B26" s="2"/>
      <c r="C26" s="2"/>
      <c r="D26" s="2"/>
      <c r="E26" s="2"/>
      <c r="F26" s="21"/>
      <c r="G26" s="2"/>
      <c r="H26" s="2"/>
      <c r="I26" s="2"/>
      <c r="J26" s="2"/>
      <c r="K26" s="2"/>
      <c r="L26" s="35"/>
      <c r="M26" s="2"/>
    </row>
    <row r="27">
      <c r="A27" s="2"/>
      <c r="B27" s="2"/>
      <c r="C27" s="2"/>
      <c r="D27" s="2"/>
      <c r="E27" s="2"/>
      <c r="F27" s="21"/>
      <c r="G27" s="2"/>
      <c r="H27" s="2"/>
      <c r="I27" s="2"/>
      <c r="J27" s="2"/>
      <c r="K27" s="2"/>
      <c r="L27" s="35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5"/>
      <c r="M28" s="2"/>
    </row>
    <row r="29">
      <c r="A29" s="2"/>
      <c r="B29" s="2"/>
      <c r="C29" s="2"/>
      <c r="D29" s="5">
        <v>148.0</v>
      </c>
      <c r="E29" s="6">
        <v>158.0</v>
      </c>
      <c r="F29" s="7">
        <v>8.0</v>
      </c>
      <c r="G29" s="2"/>
      <c r="H29" s="2"/>
      <c r="I29" s="2"/>
      <c r="J29" s="2"/>
      <c r="K29" s="8">
        <v>4410208.648</v>
      </c>
      <c r="L29" s="9">
        <v>4837716.399999999</v>
      </c>
      <c r="M29" s="7">
        <v>8.0</v>
      </c>
    </row>
    <row r="30">
      <c r="A30" s="2"/>
      <c r="B30" s="2"/>
      <c r="C30" s="2"/>
      <c r="D30" s="5">
        <v>148.0</v>
      </c>
      <c r="E30" s="6">
        <v>158.0</v>
      </c>
      <c r="F30" s="7">
        <v>7.0</v>
      </c>
      <c r="G30" s="2"/>
      <c r="H30" s="2"/>
      <c r="I30" s="2"/>
      <c r="J30" s="2"/>
      <c r="K30" s="8">
        <v>4390208.648</v>
      </c>
      <c r="L30" s="9">
        <v>4622811.55</v>
      </c>
      <c r="M30" s="7">
        <v>7.0</v>
      </c>
    </row>
    <row r="31">
      <c r="A31" s="11">
        <v>89.0</v>
      </c>
      <c r="B31" s="11">
        <v>109.0</v>
      </c>
      <c r="C31" s="2"/>
      <c r="D31" s="9">
        <v>126.0</v>
      </c>
      <c r="E31" s="5">
        <v>134.0</v>
      </c>
      <c r="F31" s="7">
        <v>6.0</v>
      </c>
      <c r="G31" s="2"/>
      <c r="H31" s="36">
        <v>1408361.928</v>
      </c>
      <c r="I31" s="36">
        <v>1759876.7280000001</v>
      </c>
      <c r="J31" s="2"/>
      <c r="K31" s="9">
        <v>3323609.0</v>
      </c>
      <c r="L31" s="9">
        <v>3520981.0</v>
      </c>
      <c r="M31" s="7">
        <v>6.0</v>
      </c>
    </row>
    <row r="32">
      <c r="A32" s="11">
        <v>89.0</v>
      </c>
      <c r="B32" s="11">
        <v>109.0</v>
      </c>
      <c r="C32" s="2"/>
      <c r="D32" s="9">
        <v>126.0</v>
      </c>
      <c r="E32" s="5">
        <v>134.0</v>
      </c>
      <c r="F32" s="7">
        <v>5.0</v>
      </c>
      <c r="G32" s="2"/>
      <c r="H32" s="36">
        <v>1408361.928</v>
      </c>
      <c r="I32" s="36">
        <v>1759876.7280000001</v>
      </c>
      <c r="J32" s="2"/>
      <c r="K32" s="9">
        <v>3303609.0</v>
      </c>
      <c r="L32" s="9">
        <v>3500981.0</v>
      </c>
      <c r="M32" s="7">
        <v>5.0</v>
      </c>
    </row>
    <row r="33">
      <c r="A33" s="11">
        <v>89.0</v>
      </c>
      <c r="B33" s="11">
        <v>109.0</v>
      </c>
      <c r="C33" s="11">
        <v>79.0</v>
      </c>
      <c r="D33" s="13">
        <v>76.0</v>
      </c>
      <c r="E33" s="12" t="str">
        <f t="shared" ref="E33:E36" si="2">$N$37</f>
        <v/>
      </c>
      <c r="F33" s="7">
        <v>4.0</v>
      </c>
      <c r="G33" s="2"/>
      <c r="H33" s="36">
        <v>1408361.928</v>
      </c>
      <c r="I33" s="36">
        <v>1759876.7280000001</v>
      </c>
      <c r="J33" s="36">
        <v>1232604.5280000002</v>
      </c>
      <c r="K33" s="36">
        <v>1179877.308</v>
      </c>
      <c r="L33" s="36">
        <v>1697307.0935999984</v>
      </c>
      <c r="M33" s="7">
        <v>4.0</v>
      </c>
    </row>
    <row r="34">
      <c r="A34" s="11">
        <v>89.0</v>
      </c>
      <c r="B34" s="11">
        <v>109.0</v>
      </c>
      <c r="C34" s="11">
        <v>79.0</v>
      </c>
      <c r="D34" s="13">
        <v>76.0</v>
      </c>
      <c r="E34" s="12" t="str">
        <f t="shared" si="2"/>
        <v/>
      </c>
      <c r="F34" s="7">
        <v>3.0</v>
      </c>
      <c r="G34" s="2"/>
      <c r="H34" s="36">
        <v>1408361.928</v>
      </c>
      <c r="I34" s="36">
        <v>1759876.7280000001</v>
      </c>
      <c r="J34" s="36">
        <v>1232604.5280000002</v>
      </c>
      <c r="K34" s="36">
        <v>1179877.308</v>
      </c>
      <c r="L34" s="36">
        <v>1697307.0935999984</v>
      </c>
      <c r="M34" s="7">
        <v>3.0</v>
      </c>
    </row>
    <row r="35">
      <c r="A35" s="11">
        <v>89.0</v>
      </c>
      <c r="B35" s="11">
        <v>109.0</v>
      </c>
      <c r="C35" s="11">
        <v>79.0</v>
      </c>
      <c r="D35" s="13">
        <v>76.0</v>
      </c>
      <c r="E35" s="12" t="str">
        <f t="shared" si="2"/>
        <v/>
      </c>
      <c r="F35" s="7">
        <v>2.0</v>
      </c>
      <c r="G35" s="2"/>
      <c r="H35" s="36">
        <v>1408361.928</v>
      </c>
      <c r="I35" s="36">
        <v>1759876.7280000001</v>
      </c>
      <c r="J35" s="36">
        <v>1232604.5280000002</v>
      </c>
      <c r="K35" s="36">
        <v>1179877.308</v>
      </c>
      <c r="L35" s="36">
        <v>1697307.0935999984</v>
      </c>
      <c r="M35" s="7">
        <v>2.0</v>
      </c>
    </row>
    <row r="36">
      <c r="A36" s="11">
        <v>89.0</v>
      </c>
      <c r="B36" s="11">
        <v>109.0</v>
      </c>
      <c r="C36" s="11">
        <v>79.0</v>
      </c>
      <c r="D36" s="13">
        <v>76.0</v>
      </c>
      <c r="E36" s="12" t="str">
        <f t="shared" si="2"/>
        <v/>
      </c>
      <c r="F36" s="7">
        <v>1.0</v>
      </c>
      <c r="G36" s="2"/>
      <c r="H36" s="36">
        <v>1408361.928</v>
      </c>
      <c r="I36" s="36">
        <v>1759876.7280000001</v>
      </c>
      <c r="J36" s="36">
        <v>1232604.5280000002</v>
      </c>
      <c r="K36" s="36">
        <v>1179877.308</v>
      </c>
      <c r="L36" s="36">
        <v>1697307.0935999984</v>
      </c>
      <c r="M36" s="7">
        <v>1.0</v>
      </c>
    </row>
    <row r="37">
      <c r="A37" s="15"/>
      <c r="B37" s="16"/>
      <c r="C37" s="15"/>
      <c r="D37" s="16"/>
      <c r="E37" s="16"/>
      <c r="F37" s="7" t="s">
        <v>3</v>
      </c>
      <c r="G37" s="2"/>
      <c r="H37" s="15"/>
      <c r="I37" s="16"/>
      <c r="J37" s="15"/>
      <c r="K37" s="16"/>
      <c r="L37" s="16"/>
      <c r="M37" s="7" t="s">
        <v>15</v>
      </c>
    </row>
    <row r="38">
      <c r="A38" s="2"/>
      <c r="B38" s="2"/>
      <c r="C38" s="2"/>
      <c r="D38" s="2"/>
      <c r="E38" s="37">
        <f>SUM(A29:E37)</f>
        <v>2940</v>
      </c>
      <c r="F38" s="2"/>
      <c r="G38" s="2"/>
      <c r="H38" s="2"/>
      <c r="I38" s="2"/>
      <c r="J38" s="2"/>
      <c r="K38" s="2"/>
      <c r="L38" s="18">
        <v>6.735871290039998E7</v>
      </c>
      <c r="M38" s="2"/>
    </row>
    <row r="39">
      <c r="A39" s="19" t="s">
        <v>4</v>
      </c>
      <c r="B39" s="20">
        <f>COUNTIF(A29:E37,"&lt;80")</f>
        <v>8</v>
      </c>
      <c r="C39" s="21"/>
      <c r="D39" s="22" t="s">
        <v>5</v>
      </c>
      <c r="E39" s="23">
        <f>SUM(A33:E36,A31:B32)</f>
        <v>1808</v>
      </c>
      <c r="F39" s="2"/>
      <c r="G39" s="2"/>
      <c r="H39" s="2"/>
      <c r="I39" s="2"/>
      <c r="J39" s="2"/>
      <c r="K39" s="22" t="s">
        <v>6</v>
      </c>
      <c r="L39" s="23">
        <v>3.544858765439999E7</v>
      </c>
      <c r="M39" s="2"/>
    </row>
    <row r="40">
      <c r="A40" s="19" t="s">
        <v>7</v>
      </c>
      <c r="B40" s="20">
        <f>COUNTIF(A29:E37,"&lt;110")-B39</f>
        <v>12</v>
      </c>
      <c r="C40" s="21"/>
      <c r="D40" s="22" t="s">
        <v>8</v>
      </c>
      <c r="E40" s="23">
        <f>E38-E39</f>
        <v>1132</v>
      </c>
      <c r="F40" s="2"/>
      <c r="G40" s="2"/>
      <c r="H40" s="2"/>
      <c r="I40" s="2"/>
      <c r="J40" s="2"/>
      <c r="K40" s="22" t="s">
        <v>9</v>
      </c>
      <c r="L40" s="23">
        <v>3.1910125245999992E7</v>
      </c>
      <c r="M40" s="2"/>
    </row>
    <row r="41">
      <c r="A41" s="19" t="s">
        <v>10</v>
      </c>
      <c r="B41" s="20">
        <f>COUNTIF(A29:E37,"&gt;110")</f>
        <v>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19" t="s">
        <v>11</v>
      </c>
      <c r="B42" s="20">
        <f>SUM(B39:B41)</f>
        <v>28</v>
      </c>
      <c r="C42" s="2"/>
      <c r="D42" s="29"/>
      <c r="E42" s="30"/>
      <c r="F42" s="38"/>
      <c r="G42" s="2"/>
      <c r="H42" s="2"/>
      <c r="I42" s="2"/>
      <c r="J42" s="2"/>
      <c r="K42" s="24" t="s">
        <v>13</v>
      </c>
      <c r="L42" s="25">
        <v>6.735871290039998E7</v>
      </c>
      <c r="M42" s="2"/>
    </row>
    <row r="43">
      <c r="A43" s="2"/>
      <c r="B43" s="2"/>
      <c r="C43" s="2"/>
      <c r="D43" s="29"/>
      <c r="E43" s="29"/>
      <c r="F43" s="2"/>
      <c r="G43" s="2"/>
      <c r="H43" s="2"/>
      <c r="I43" s="2"/>
      <c r="J43" s="2"/>
      <c r="K43" s="27" t="s">
        <v>14</v>
      </c>
      <c r="L43" s="28">
        <v>5.757154948752136E7</v>
      </c>
      <c r="M43" s="2"/>
    </row>
    <row r="44">
      <c r="A44" s="2"/>
      <c r="B44" s="2"/>
      <c r="C44" s="2"/>
      <c r="D44" s="29"/>
      <c r="E44" s="30"/>
      <c r="F44" s="2"/>
      <c r="G44" s="2"/>
      <c r="H44" s="2"/>
      <c r="I44" s="2"/>
      <c r="J44" s="2"/>
      <c r="K44" s="32"/>
      <c r="L44" s="33"/>
      <c r="M44" s="2"/>
    </row>
    <row r="45">
      <c r="A45" s="1" t="s">
        <v>0</v>
      </c>
      <c r="B45" s="2"/>
      <c r="C45" s="2"/>
      <c r="D45" s="2"/>
      <c r="E45" s="2"/>
      <c r="F45" s="2"/>
      <c r="G45" s="2"/>
      <c r="H45" s="1" t="s">
        <v>1</v>
      </c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6"/>
      <c r="G46" s="2"/>
      <c r="H46" s="2"/>
      <c r="I46" s="2"/>
      <c r="J46" s="2"/>
      <c r="K46" s="32"/>
      <c r="L46" s="33"/>
      <c r="M46" s="2"/>
    </row>
    <row r="47">
      <c r="A47" s="3" t="s">
        <v>2</v>
      </c>
      <c r="B47" s="2"/>
      <c r="C47" s="2"/>
      <c r="D47" s="2"/>
      <c r="E47" s="2"/>
      <c r="F47" s="21"/>
      <c r="G47" s="2"/>
      <c r="H47" s="2"/>
      <c r="I47" s="2"/>
      <c r="J47" s="2"/>
      <c r="K47" s="2"/>
      <c r="L47" s="35"/>
      <c r="M47" s="2"/>
    </row>
    <row r="48">
      <c r="A48" s="2"/>
      <c r="B48" s="2"/>
      <c r="C48" s="2"/>
      <c r="D48" s="2"/>
      <c r="E48" s="2"/>
      <c r="F48" s="21"/>
      <c r="G48" s="2"/>
      <c r="H48" s="2"/>
      <c r="I48" s="2"/>
      <c r="J48" s="2"/>
      <c r="K48" s="2"/>
      <c r="L48" s="35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5"/>
      <c r="M49" s="2"/>
    </row>
    <row r="50">
      <c r="A50" s="2"/>
      <c r="B50" s="2"/>
      <c r="C50" s="2"/>
      <c r="D50" s="5">
        <v>148.0</v>
      </c>
      <c r="E50" s="6">
        <v>158.0</v>
      </c>
      <c r="F50" s="7">
        <v>8.0</v>
      </c>
      <c r="G50" s="2"/>
      <c r="H50" s="2"/>
      <c r="I50" s="2"/>
      <c r="J50" s="2"/>
      <c r="K50" s="8">
        <v>4410208.648</v>
      </c>
      <c r="L50" s="9">
        <v>4837716.399999999</v>
      </c>
      <c r="M50" s="7">
        <v>8.0</v>
      </c>
    </row>
    <row r="51">
      <c r="A51" s="2"/>
      <c r="B51" s="2"/>
      <c r="C51" s="2"/>
      <c r="D51" s="5">
        <v>148.0</v>
      </c>
      <c r="E51" s="6">
        <v>158.0</v>
      </c>
      <c r="F51" s="7">
        <v>7.0</v>
      </c>
      <c r="G51" s="2"/>
      <c r="H51" s="2"/>
      <c r="I51" s="2"/>
      <c r="J51" s="2"/>
      <c r="K51" s="8">
        <v>4390208.648</v>
      </c>
      <c r="L51" s="9">
        <v>4622811.55</v>
      </c>
      <c r="M51" s="7">
        <v>7.0</v>
      </c>
    </row>
    <row r="52">
      <c r="A52" s="14">
        <v>110.5</v>
      </c>
      <c r="B52" s="14">
        <v>109.5</v>
      </c>
      <c r="C52" s="2"/>
      <c r="D52" s="9">
        <v>126.0</v>
      </c>
      <c r="E52" s="5">
        <v>134.0</v>
      </c>
      <c r="F52" s="7">
        <v>6.0</v>
      </c>
      <c r="G52" s="2"/>
      <c r="H52" s="36">
        <v>1786240.338</v>
      </c>
      <c r="I52" s="36">
        <v>1768664.598</v>
      </c>
      <c r="J52" s="2"/>
      <c r="K52" s="9">
        <v>3323609.0</v>
      </c>
      <c r="L52" s="9">
        <v>3520981.0</v>
      </c>
      <c r="M52" s="7">
        <v>6.0</v>
      </c>
    </row>
    <row r="53">
      <c r="A53" s="14">
        <v>110.5</v>
      </c>
      <c r="B53" s="14">
        <v>109.5</v>
      </c>
      <c r="C53" s="14">
        <v>79.0</v>
      </c>
      <c r="D53" s="14">
        <v>76.0</v>
      </c>
      <c r="E53" s="12" t="str">
        <f t="shared" ref="E53:E57" si="3">$N$37</f>
        <v/>
      </c>
      <c r="F53" s="7">
        <v>5.0</v>
      </c>
      <c r="G53" s="2"/>
      <c r="H53" s="36">
        <v>1786240.338</v>
      </c>
      <c r="I53" s="36">
        <v>1768664.598</v>
      </c>
      <c r="J53" s="36">
        <v>1232604.5280000002</v>
      </c>
      <c r="K53" s="36">
        <v>1179877.308</v>
      </c>
      <c r="L53" s="36">
        <v>1697307.0935999984</v>
      </c>
      <c r="M53" s="7">
        <v>5.0</v>
      </c>
    </row>
    <row r="54">
      <c r="A54" s="14">
        <v>110.5</v>
      </c>
      <c r="B54" s="14">
        <v>109.5</v>
      </c>
      <c r="C54" s="14">
        <v>79.0</v>
      </c>
      <c r="D54" s="14">
        <v>76.0</v>
      </c>
      <c r="E54" s="12" t="str">
        <f t="shared" si="3"/>
        <v/>
      </c>
      <c r="F54" s="7">
        <v>4.0</v>
      </c>
      <c r="G54" s="2"/>
      <c r="H54" s="36">
        <v>1786240.338</v>
      </c>
      <c r="I54" s="36">
        <v>1768664.598</v>
      </c>
      <c r="J54" s="36">
        <v>1232604.5280000002</v>
      </c>
      <c r="K54" s="36">
        <v>1179877.308</v>
      </c>
      <c r="L54" s="36">
        <v>1697307.0935999984</v>
      </c>
      <c r="M54" s="7">
        <v>4.0</v>
      </c>
    </row>
    <row r="55">
      <c r="A55" s="14">
        <v>110.5</v>
      </c>
      <c r="B55" s="14">
        <v>109.5</v>
      </c>
      <c r="C55" s="14">
        <v>79.0</v>
      </c>
      <c r="D55" s="14">
        <v>76.0</v>
      </c>
      <c r="E55" s="12" t="str">
        <f t="shared" si="3"/>
        <v/>
      </c>
      <c r="F55" s="7">
        <v>3.0</v>
      </c>
      <c r="G55" s="2"/>
      <c r="H55" s="36">
        <v>1786240.338</v>
      </c>
      <c r="I55" s="36">
        <v>1768664.598</v>
      </c>
      <c r="J55" s="36">
        <v>1232604.5280000002</v>
      </c>
      <c r="K55" s="36">
        <v>1179877.308</v>
      </c>
      <c r="L55" s="36">
        <v>1697307.0935999984</v>
      </c>
      <c r="M55" s="7">
        <v>3.0</v>
      </c>
    </row>
    <row r="56">
      <c r="A56" s="14">
        <v>110.5</v>
      </c>
      <c r="B56" s="14">
        <v>109.5</v>
      </c>
      <c r="C56" s="14">
        <v>79.0</v>
      </c>
      <c r="D56" s="14">
        <v>76.0</v>
      </c>
      <c r="E56" s="12" t="str">
        <f t="shared" si="3"/>
        <v/>
      </c>
      <c r="F56" s="7">
        <v>2.0</v>
      </c>
      <c r="G56" s="2"/>
      <c r="H56" s="36">
        <v>1786240.338</v>
      </c>
      <c r="I56" s="36">
        <v>1768664.598</v>
      </c>
      <c r="J56" s="36">
        <v>1232604.5280000002</v>
      </c>
      <c r="K56" s="36">
        <v>1179877.308</v>
      </c>
      <c r="L56" s="36">
        <v>1697307.0935999984</v>
      </c>
      <c r="M56" s="7">
        <v>2.0</v>
      </c>
    </row>
    <row r="57">
      <c r="A57" s="14">
        <v>110.5</v>
      </c>
      <c r="B57" s="14">
        <v>109.5</v>
      </c>
      <c r="C57" s="14">
        <v>79.0</v>
      </c>
      <c r="D57" s="14">
        <v>76.0</v>
      </c>
      <c r="E57" s="12" t="str">
        <f t="shared" si="3"/>
        <v/>
      </c>
      <c r="F57" s="7">
        <v>1.0</v>
      </c>
      <c r="G57" s="2"/>
      <c r="H57" s="36">
        <v>1786240.338</v>
      </c>
      <c r="I57" s="36">
        <v>1768664.598</v>
      </c>
      <c r="J57" s="36">
        <v>1232604.5280000002</v>
      </c>
      <c r="K57" s="36">
        <v>1179877.308</v>
      </c>
      <c r="L57" s="36">
        <v>1697307.0935999984</v>
      </c>
      <c r="M57" s="7">
        <v>1.0</v>
      </c>
    </row>
    <row r="58">
      <c r="A58" s="15"/>
      <c r="B58" s="16"/>
      <c r="C58" s="39">
        <v>79.0</v>
      </c>
      <c r="D58" s="13">
        <v>76.0</v>
      </c>
      <c r="E58" s="40">
        <v>106.0</v>
      </c>
      <c r="F58" s="7" t="s">
        <v>3</v>
      </c>
      <c r="G58" s="2"/>
      <c r="H58" s="15"/>
      <c r="I58" s="16"/>
      <c r="J58" s="18">
        <v>2302850.0</v>
      </c>
      <c r="K58" s="36">
        <v>1290604.47</v>
      </c>
      <c r="L58" s="41">
        <v>3337092.000000001</v>
      </c>
      <c r="M58" s="7" t="s">
        <v>15</v>
      </c>
    </row>
    <row r="59">
      <c r="A59" s="2"/>
      <c r="B59" s="2"/>
      <c r="C59" s="2"/>
      <c r="D59" s="2"/>
      <c r="E59" s="37">
        <f>SUM(A50:E58)</f>
        <v>3228</v>
      </c>
      <c r="F59" s="2"/>
      <c r="G59" s="2"/>
      <c r="H59" s="2"/>
      <c r="I59" s="2"/>
      <c r="J59" s="2"/>
      <c r="K59" s="2"/>
      <c r="L59" s="18">
        <v>7.391445597999996E7</v>
      </c>
      <c r="M59" s="2"/>
    </row>
    <row r="60">
      <c r="A60" s="19" t="s">
        <v>4</v>
      </c>
      <c r="B60" s="20">
        <f>COUNTIF(A50:E58,"&lt;80")</f>
        <v>12</v>
      </c>
      <c r="C60" s="21"/>
      <c r="D60" s="22" t="s">
        <v>5</v>
      </c>
      <c r="E60" s="23">
        <f>SUM(A53:E57,A52:B52,D58)</f>
        <v>2171</v>
      </c>
      <c r="F60" s="2"/>
      <c r="G60" s="2"/>
      <c r="H60" s="2"/>
      <c r="I60" s="2"/>
      <c r="J60" s="2"/>
      <c r="K60" s="22" t="s">
        <v>6</v>
      </c>
      <c r="L60" s="23">
        <v>4.316897873399998E7</v>
      </c>
      <c r="M60" s="2"/>
    </row>
    <row r="61">
      <c r="A61" s="19" t="s">
        <v>7</v>
      </c>
      <c r="B61" s="20">
        <f>COUNTIF(A50:E58,"&lt;110")-B60</f>
        <v>7</v>
      </c>
      <c r="C61" s="21"/>
      <c r="D61" s="22" t="s">
        <v>8</v>
      </c>
      <c r="E61" s="23">
        <f>E59-E60</f>
        <v>1057</v>
      </c>
      <c r="F61" s="2"/>
      <c r="G61" s="2"/>
      <c r="H61" s="2"/>
      <c r="I61" s="2"/>
      <c r="J61" s="2"/>
      <c r="K61" s="22" t="s">
        <v>9</v>
      </c>
      <c r="L61" s="23">
        <v>3.0745477245999977E7</v>
      </c>
      <c r="M61" s="2"/>
    </row>
    <row r="62">
      <c r="A62" s="19" t="s">
        <v>10</v>
      </c>
      <c r="B62" s="20">
        <f>COUNTIF(A50:E58,"&gt;110")</f>
        <v>12</v>
      </c>
      <c r="C62" s="2"/>
      <c r="D62" s="22" t="s">
        <v>12</v>
      </c>
      <c r="E62" s="2"/>
      <c r="F62" s="2"/>
      <c r="G62" s="2"/>
      <c r="H62" s="2"/>
      <c r="I62" s="2"/>
      <c r="J62" s="2"/>
      <c r="K62" s="2"/>
      <c r="L62" s="2"/>
      <c r="M62" s="2"/>
    </row>
    <row r="63">
      <c r="A63" s="19" t="s">
        <v>11</v>
      </c>
      <c r="B63" s="20">
        <f>SUM(B60:B62)</f>
        <v>31</v>
      </c>
      <c r="C63" s="2"/>
      <c r="D63" s="2"/>
      <c r="E63" s="2"/>
      <c r="F63" s="26"/>
      <c r="G63" s="2"/>
      <c r="H63" s="2"/>
      <c r="I63" s="2"/>
      <c r="J63" s="2"/>
      <c r="K63" s="24" t="s">
        <v>13</v>
      </c>
      <c r="L63" s="25">
        <v>7.391445597999996E7</v>
      </c>
      <c r="M63" s="2"/>
    </row>
    <row r="64">
      <c r="A64" s="2"/>
      <c r="B64" s="2"/>
      <c r="C64" s="2"/>
      <c r="D64" s="29"/>
      <c r="E64" s="30"/>
      <c r="F64" s="38"/>
      <c r="G64" s="2"/>
      <c r="H64" s="2"/>
      <c r="I64" s="2"/>
      <c r="J64" s="2"/>
      <c r="K64" s="27" t="s">
        <v>14</v>
      </c>
      <c r="L64" s="28">
        <v>6.317474870085467E7</v>
      </c>
      <c r="M64" s="2"/>
    </row>
    <row r="65">
      <c r="A65" s="2"/>
      <c r="B65" s="2"/>
      <c r="C65" s="2"/>
      <c r="D65" s="29"/>
      <c r="E65" s="30"/>
      <c r="F65" s="2"/>
      <c r="G65" s="2"/>
      <c r="H65" s="2"/>
      <c r="I65" s="2"/>
      <c r="J65" s="2"/>
      <c r="K65" s="32"/>
      <c r="L65" s="33"/>
      <c r="M65" s="2"/>
    </row>
    <row r="66">
      <c r="A66" s="2"/>
      <c r="B66" s="2"/>
      <c r="C66" s="42"/>
      <c r="D66" s="34"/>
      <c r="E66" s="30"/>
      <c r="F66" s="2"/>
      <c r="G66" s="4"/>
    </row>
  </sheetData>
  <drawing r:id="rId1"/>
</worksheet>
</file>